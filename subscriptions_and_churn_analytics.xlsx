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ocuments\EXCEL SHEET\"/>
    </mc:Choice>
  </mc:AlternateContent>
  <xr:revisionPtr revIDLastSave="0" documentId="8_{C1390E16-4683-4966-89C7-2CBB9C5522FB}" xr6:coauthVersionLast="47" xr6:coauthVersionMax="47" xr10:uidLastSave="{00000000-0000-0000-0000-000000000000}"/>
  <bookViews>
    <workbookView xWindow="-108" yWindow="-108" windowWidth="23256" windowHeight="12456" xr2:uid="{BE9E7861-918D-4EB5-A2D0-E777BAD77261}"/>
  </bookViews>
  <sheets>
    <sheet name="users" sheetId="1" r:id="rId1"/>
    <sheet name="subscriptions" sheetId="2" r:id="rId2"/>
    <sheet name="KPI's" sheetId="3" r:id="rId3"/>
    <sheet name="Active vs. Churned" sheetId="4" r:id="rId4"/>
    <sheet name="Revenue By City" sheetId="5" r:id="rId5"/>
    <sheet name="MRR Trend" sheetId="7" r:id="rId6"/>
    <sheet name="Cond. Formatting" sheetId="9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9" l="1"/>
  <c r="D2" i="3"/>
  <c r="C2" i="3"/>
  <c r="B2" i="3"/>
  <c r="A2" i="3"/>
</calcChain>
</file>

<file path=xl/sharedStrings.xml><?xml version="1.0" encoding="utf-8"?>
<sst xmlns="http://schemas.openxmlformats.org/spreadsheetml/2006/main" count="74" uniqueCount="42">
  <si>
    <t>Rahul</t>
  </si>
  <si>
    <t>Delhi</t>
  </si>
  <si>
    <t>Akshit</t>
  </si>
  <si>
    <t>Mumbai</t>
  </si>
  <si>
    <t>Neha</t>
  </si>
  <si>
    <t>Pune</t>
  </si>
  <si>
    <t>Aman</t>
  </si>
  <si>
    <t>Priya</t>
  </si>
  <si>
    <t>Bangalore</t>
  </si>
  <si>
    <t>Rohan</t>
  </si>
  <si>
    <t>Simran</t>
  </si>
  <si>
    <t>Chennai</t>
  </si>
  <si>
    <t>user_id</t>
  </si>
  <si>
    <t>user_name</t>
  </si>
  <si>
    <t>signup_date</t>
  </si>
  <si>
    <t>city</t>
  </si>
  <si>
    <t>subscription_id</t>
  </si>
  <si>
    <t>start_date</t>
  </si>
  <si>
    <t>end_date</t>
  </si>
  <si>
    <t>monthly_fee</t>
  </si>
  <si>
    <t>[null]</t>
  </si>
  <si>
    <t>Total Users</t>
  </si>
  <si>
    <t>Active Users</t>
  </si>
  <si>
    <t>Churn Users</t>
  </si>
  <si>
    <t xml:space="preserve">Total MRR </t>
  </si>
  <si>
    <t>user_status</t>
  </si>
  <si>
    <t>Churned</t>
  </si>
  <si>
    <t>Active</t>
  </si>
  <si>
    <t>User Id's</t>
  </si>
  <si>
    <t>User_Status</t>
  </si>
  <si>
    <t>Sum of monthly_fee</t>
  </si>
  <si>
    <t>Total Revenue</t>
  </si>
  <si>
    <t>City</t>
  </si>
  <si>
    <t>Date</t>
  </si>
  <si>
    <t>2022</t>
  </si>
  <si>
    <t>2023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</si>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</sst>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[subscriptions_and_churn_analytics.xlsx]Active vs. Churned!PivotTable1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</a:t>
            </a:r>
            <a:r>
              <a:rPr lang="en-IN" baseline="0"/>
              <a:t> Churn Distribution</a:t>
            </a:r>
          </a:p>
        </c:rich>
      </c:tx>
      <c:layout>
        <c:manualLayout>
          <c:xMode val="edge"/>
          <c:yMode val="edge"/>
          <c:x val="0.25928455818022744"/>
          <c:y val="7.3053251364969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'Active vs. Churned'!$B$3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22-40F6-928E-4A921B01479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22-40F6-928E-4A921B01479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'Active vs. Churned'!$A$4:$A$5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'Active vs. Churned'!$B$4:$B$5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1-4501-99DB-FCFAADDAC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[subscriptions_and_churn_analytics.xlsx]Revenue By City!PivotTable2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City</a:t>
            </a:r>
          </a:p>
        </c:rich>
      </c:tx>
      <c:layout>
        <c:manualLayout>
          <c:xMode val="edge"/>
          <c:yMode val="edge"/>
          <c:x val="0.31208333333333332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City'!$A$4:$A$8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Pune</c:v>
                </c:pt>
              </c:strCache>
            </c:strRef>
          </c:cat>
          <c:val>
            <c:numRef>
              <c:f>'Revenue By City'!$B$4:$B$8</c:f>
              <c:numCache>
                <c:formatCode>General</c:formatCode>
                <c:ptCount val="5"/>
                <c:pt idx="0">
                  <c:v>1600</c:v>
                </c:pt>
                <c:pt idx="1">
                  <c:v>1300</c:v>
                </c:pt>
                <c:pt idx="2">
                  <c:v>800</c:v>
                </c:pt>
                <c:pt idx="3">
                  <c:v>550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1-48E8-A197-B9325A905E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3778159"/>
        <c:axId val="1203777679"/>
      </c:barChart>
      <c:catAx>
        <c:axId val="12037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77679"/>
        <c:crosses val="autoZero"/>
        <c:auto val="1"/>
        <c:lblAlgn val="ctr"/>
        <c:lblOffset val="100"/>
        <c:noMultiLvlLbl val="0"/>
      </c:catAx>
      <c:valAx>
        <c:axId val="1203777679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7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[subscriptions_and_churn_analytics.xlsx]MRR Trend!PivotTable4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</a:t>
            </a:r>
            <a:r>
              <a:rPr lang="en-IN" baseline="0"/>
              <a:t>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'MRR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'MRR Trend'!$A$4:$A$12</c:f>
              <c:multiLvlStrCache>
                <c:ptCount val="7"/>
                <c:lvl>
                  <c:pt idx="0">
                    <c:v>Jan</c:v>
                  </c:pt>
                  <c:pt idx="1">
                    <c:v>Mar</c:v>
                  </c:pt>
                  <c:pt idx="2">
                    <c:v>Jun</c:v>
                  </c:pt>
                  <c:pt idx="3">
                    <c:v>Jan</c:v>
                  </c:pt>
                  <c:pt idx="4">
                    <c:v>Feb</c:v>
                  </c:pt>
                  <c:pt idx="5">
                    <c:v>Apr</c:v>
                  </c:pt>
                  <c:pt idx="6">
                    <c:v>May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'MRR Trend'!$B$4:$B$12</c:f>
              <c:numCache>
                <c:formatCode>General</c:formatCode>
                <c:ptCount val="7"/>
                <c:pt idx="0">
                  <c:v>500</c:v>
                </c:pt>
                <c:pt idx="1">
                  <c:v>700</c:v>
                </c:pt>
                <c:pt idx="2">
                  <c:v>400</c:v>
                </c:pt>
                <c:pt idx="3">
                  <c:v>1100</c:v>
                </c:pt>
                <c:pt idx="4">
                  <c:v>800</c:v>
                </c:pt>
                <c:pt idx="5">
                  <c:v>600</c:v>
                </c:pt>
                <c:pt idx="6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70-4F39-A4F8-94F7F618ED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08161183"/>
        <c:axId val="1208161663"/>
      </c:lineChart>
      <c:catAx>
        <c:axId val="120816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61663"/>
        <c:crosses val="autoZero"/>
        <c:auto val="1"/>
        <c:lblAlgn val="ctr"/>
        <c:lblOffset val="100"/>
        <c:noMultiLvlLbl val="0"/>
      </c:catAx>
      <c:valAx>
        <c:axId val="12081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6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2</xdr:row>
      <xdr:rowOff>179070</xdr:rowOff>
    </xdr:from>
    <xdr:to>
      <xdr:col>10</xdr:col>
      <xdr:colOff>434340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6F6A1-E269-44E4-5F11-9C4E4F77A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110490</xdr:rowOff>
    </xdr:from>
    <xdr:to>
      <xdr:col>10</xdr:col>
      <xdr:colOff>190500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0567F-2F17-E604-9B42-37E3C6A65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3</xdr:row>
      <xdr:rowOff>110490</xdr:rowOff>
    </xdr:from>
    <xdr:to>
      <xdr:col>10</xdr:col>
      <xdr:colOff>213360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67D65-AE7D-76E8-FD84-09A160527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70.536297916668" createdVersion="8" refreshedVersion="8" minRefreshableVersion="3" recordCount="8" xr:uid="{271DD4FE-2981-4A87-ACE1-FA2E2608BABC}">
  <cacheSource type="worksheet">
    <worksheetSource ref="A1:F9" sheet="subscriptions"/>
  </cacheSource>
  <cacheFields count="9">
    <cacheField name="subscription_id" numFmtId="0">
      <sharedItems containsSemiMixedTypes="0" containsString="0" containsNumber="1" containsInteger="1" minValue="1" maxValue="8"/>
    </cacheField>
    <cacheField name="user_i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start_date" numFmtId="14">
      <sharedItems containsSemiMixedTypes="0" containsNonDate="0" containsDate="1" containsString="0" minDate="2022-01-10T00:00:00" maxDate="2023-05-23T00:00:00" count="8">
        <d v="2022-01-10T00:00:00"/>
        <d v="2023-01-01T00:00:00"/>
        <d v="2022-03-15T00:00:00"/>
        <d v="2022-06-20T00:00:00"/>
        <d v="2023-01-05T00:00:00"/>
        <d v="2023-02-01T00:00:00"/>
        <d v="2023-04-18T00:00:00"/>
        <d v="2023-05-22T00:00:00"/>
      </sharedItems>
      <fieldGroup par="8"/>
    </cacheField>
    <cacheField name="end_date" numFmtId="0">
      <sharedItems containsDate="1" containsMixedTypes="1" minDate="2022-12-31T00:00:00" maxDate="2024-01-01T00:00:00" count="5">
        <d v="2022-12-31T00:00:00"/>
        <s v="[null]"/>
        <d v="2023-03-14T00:00:00"/>
        <d v="2023-09-30T00:00:00"/>
        <d v="2023-12-31T00:00:00"/>
      </sharedItems>
    </cacheField>
    <cacheField name="monthly_fee" numFmtId="0">
      <sharedItems containsSemiMixedTypes="0" containsString="0" containsNumber="1" containsInteger="1" minValue="400" maxValue="800" count="6">
        <n v="500"/>
        <n v="600"/>
        <n v="700"/>
        <n v="400"/>
        <n v="800"/>
        <n v="550"/>
      </sharedItems>
    </cacheField>
    <cacheField name="user_status" numFmtId="0">
      <sharedItems count="2">
        <s v="Churned"/>
        <s v="Active"/>
      </sharedItems>
    </cacheField>
    <cacheField name="Months (start_date)" numFmtId="0" databaseField="0">
      <fieldGroup base="2">
        <rangePr groupBy="months" startDate="2022-01-10T00:00:00" endDate="2023-05-23T00:00:00"/>
        <groupItems count="14">
          <s v="&lt;10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5-2023"/>
        </groupItems>
      </fieldGroup>
    </cacheField>
    <cacheField name="Quarters (start_date)" numFmtId="0" databaseField="0">
      <fieldGroup base="2">
        <rangePr groupBy="quarters" startDate="2022-01-10T00:00:00" endDate="2023-05-23T00:00:00"/>
        <groupItems count="6">
          <s v="&lt;10-01-2022"/>
          <s v="Qtr1"/>
          <s v="Qtr2"/>
          <s v="Qtr3"/>
          <s v="Qtr4"/>
          <s v="&gt;23-05-2023"/>
        </groupItems>
      </fieldGroup>
    </cacheField>
    <cacheField name="Years (start_date)" numFmtId="0" databaseField="0">
      <fieldGroup base="2">
        <rangePr groupBy="years" startDate="2022-01-10T00:00:00" endDate="2023-05-23T00:00:00"/>
        <groupItems count="4">
          <s v="&lt;10-01-2022"/>
          <s v="2022"/>
          <s v="2023"/>
          <s v="&gt;23-05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70.546322916663" createdVersion="8" refreshedVersion="8" minRefreshableVersion="3" recordCount="7" xr:uid="{D7B517E6-B653-4F2D-A826-13845687CE06}">
  <cacheSource type="worksheet">
    <worksheetSource ref="A1:E8" sheet="users"/>
  </cacheSource>
  <cacheFields count="5">
    <cacheField name="user_id" numFmtId="0">
      <sharedItems containsSemiMixedTypes="0" containsString="0" containsNumber="1" containsInteger="1" minValue="1" maxValue="7"/>
    </cacheField>
    <cacheField name="user_name" numFmtId="0">
      <sharedItems/>
    </cacheField>
    <cacheField name="signup_date" numFmtId="14">
      <sharedItems containsSemiMixedTypes="0" containsNonDate="0" containsDate="1" containsString="0" minDate="2022-01-10T00:00:00" maxDate="2023-05-23T00:00:00"/>
    </cacheField>
    <cacheField name="city" numFmtId="0">
      <sharedItems count="5">
        <s v="Delhi"/>
        <s v="Mumbai"/>
        <s v="Pune"/>
        <s v="Bangalore"/>
        <s v="Chennai"/>
      </sharedItems>
    </cacheField>
    <cacheField name="monthly_fee" numFmtId="0">
      <sharedItems containsSemiMixedTypes="0" containsString="0" containsNumber="1" containsInteger="1" minValue="400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x v="0"/>
    <x v="0"/>
    <x v="0"/>
  </r>
  <r>
    <n v="2"/>
    <x v="0"/>
    <x v="1"/>
    <x v="1"/>
    <x v="1"/>
    <x v="1"/>
  </r>
  <r>
    <n v="3"/>
    <x v="1"/>
    <x v="2"/>
    <x v="2"/>
    <x v="2"/>
    <x v="0"/>
  </r>
  <r>
    <n v="4"/>
    <x v="2"/>
    <x v="3"/>
    <x v="1"/>
    <x v="3"/>
    <x v="1"/>
  </r>
  <r>
    <n v="5"/>
    <x v="3"/>
    <x v="4"/>
    <x v="3"/>
    <x v="0"/>
    <x v="0"/>
  </r>
  <r>
    <n v="6"/>
    <x v="4"/>
    <x v="5"/>
    <x v="1"/>
    <x v="4"/>
    <x v="1"/>
  </r>
  <r>
    <n v="7"/>
    <x v="5"/>
    <x v="6"/>
    <x v="4"/>
    <x v="1"/>
    <x v="0"/>
  </r>
  <r>
    <n v="8"/>
    <x v="6"/>
    <x v="7"/>
    <x v="1"/>
    <x v="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Rahul"/>
    <d v="2022-01-10T00:00:00"/>
    <x v="0"/>
    <n v="1100"/>
  </r>
  <r>
    <n v="2"/>
    <s v="Akshit"/>
    <d v="2022-03-15T00:00:00"/>
    <x v="1"/>
    <n v="700"/>
  </r>
  <r>
    <n v="3"/>
    <s v="Neha"/>
    <d v="2022-06-20T00:00:00"/>
    <x v="2"/>
    <n v="400"/>
  </r>
  <r>
    <n v="4"/>
    <s v="Aman"/>
    <d v="2023-01-05T00:00:00"/>
    <x v="0"/>
    <n v="500"/>
  </r>
  <r>
    <n v="5"/>
    <s v="Priya"/>
    <d v="2023-02-01T00:00:00"/>
    <x v="3"/>
    <n v="800"/>
  </r>
  <r>
    <n v="6"/>
    <s v="Rohan"/>
    <d v="2023-04-18T00:00:00"/>
    <x v="1"/>
    <n v="600"/>
  </r>
  <r>
    <n v="7"/>
    <s v="Simran"/>
    <d v="2023-05-22T00:00:00"/>
    <x v="4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DA258-47BB-4DDB-8EAE-38AD9D77820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User_Status">
  <location ref="A3:B5" firstHeaderRow="1" firstDataRow="1" firstDataCol="1"/>
  <pivotFields count="9">
    <pivotField showAll="0"/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>
      <items count="9">
        <item x="0"/>
        <item x="2"/>
        <item x="3"/>
        <item x="1"/>
        <item x="4"/>
        <item x="5"/>
        <item x="6"/>
        <item x="7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User Id's" fld="1" subtotal="count" baseField="5" baseItem="0"/>
  </dataFields>
  <formats count="4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/>
    </format>
    <format dxfId="15">
      <pivotArea dataOnly="0" labelOnly="1" outline="0" axis="axisValues" fieldPosition="0"/>
    </format>
  </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9D75D-E1BE-48D1-9D06-599AE7A535E9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City">
  <location ref="A3:B8" firstHeaderRow="1" firstDataRow="1" firstDataCol="1"/>
  <pivotFields count="5">
    <pivotField showAll="0"/>
    <pivotField showAll="0"/>
    <pivotField numFmtId="14"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5">
    <i>
      <x v="2"/>
    </i>
    <i>
      <x v="3"/>
    </i>
    <i>
      <x/>
    </i>
    <i>
      <x v="1"/>
    </i>
    <i>
      <x v="4"/>
    </i>
  </rowItems>
  <colItems count="1">
    <i/>
  </colItems>
  <dataFields count="1">
    <dataField name="Total Revenue" fld="4" baseField="3" baseItem="0"/>
  </dataFields>
  <formats count="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D24DC-8C8C-43B3-A102-32EA79B7A541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Date">
  <location ref="A3:B12" firstHeaderRow="1" firstDataRow="1" firstDataCol="1"/>
  <pivotFields count="9">
    <pivotField showAll="0"/>
    <pivotField showAll="0"/>
    <pivotField numFmtId="14" showAll="0">
      <items count="9">
        <item x="0"/>
        <item x="2"/>
        <item x="3"/>
        <item x="1"/>
        <item x="4"/>
        <item x="5"/>
        <item x="6"/>
        <item x="7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dataField="1" showAll="0"/>
    <pivotField showAll="0"/>
    <pivotField axis="axisRow" showAll="0">
      <items count="15">
        <item sd="0" x="0"/>
        <item x="1"/>
        <item x="2"/>
        <item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8"/>
    <field x="6"/>
  </rowFields>
  <rowItems count="9">
    <i>
      <x v="1"/>
    </i>
    <i r="1">
      <x v="1"/>
    </i>
    <i r="1">
      <x v="3"/>
    </i>
    <i r="1">
      <x v="6"/>
    </i>
    <i>
      <x v="2"/>
    </i>
    <i r="1">
      <x v="1"/>
    </i>
    <i r="1">
      <x v="2"/>
    </i>
    <i r="1">
      <x v="4"/>
    </i>
    <i r="1">
      <x v="5"/>
    </i>
  </rowItems>
  <colItems count="1">
    <i/>
  </colItems>
  <dataFields count="1">
    <dataField name="Sum of monthly_fee" fld="4" baseField="0" baseItem="0"/>
  </dataFields>
  <formats count="4"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/>
    </format>
    <format dxfId="6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F293-23A8-44A5-8A7B-2037C9C159DE}">
  <dimension ref="A1:E8"/>
  <sheetViews>
    <sheetView tabSelected="1" workbookViewId="0">
      <selection activeCell="I13" sqref="I13"/>
    </sheetView>
  </sheetViews>
  <sheetFormatPr defaultRowHeight="14.4" x14ac:dyDescent="0.3"/>
  <cols>
    <col min="1" max="1" width="7.88671875" bestFit="1" customWidth="1"/>
    <col min="2" max="2" width="11.33203125" bestFit="1" customWidth="1"/>
    <col min="3" max="3" width="12.44140625" bestFit="1" customWidth="1"/>
    <col min="4" max="4" width="10.33203125" bestFit="1" customWidth="1"/>
    <col min="5" max="5" width="11.77734375" bestFit="1" customWidth="1"/>
  </cols>
  <sheetData>
    <row r="1" spans="1:5" s="1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19</v>
      </c>
    </row>
    <row r="2" spans="1:5" ht="15.6" x14ac:dyDescent="0.3">
      <c r="A2" s="3">
        <v>1</v>
      </c>
      <c r="B2" s="3" t="s">
        <v>0</v>
      </c>
      <c r="C2" s="4">
        <v>44571</v>
      </c>
      <c r="D2" s="3" t="s">
        <v>1</v>
      </c>
      <c r="E2" s="3">
        <v>1100</v>
      </c>
    </row>
    <row r="3" spans="1:5" ht="15.6" x14ac:dyDescent="0.3">
      <c r="A3" s="3">
        <v>2</v>
      </c>
      <c r="B3" s="3" t="s">
        <v>2</v>
      </c>
      <c r="C3" s="4">
        <v>44635</v>
      </c>
      <c r="D3" s="3" t="s">
        <v>3</v>
      </c>
      <c r="E3" s="3">
        <v>700</v>
      </c>
    </row>
    <row r="4" spans="1:5" ht="15.6" x14ac:dyDescent="0.3">
      <c r="A4" s="3">
        <v>3</v>
      </c>
      <c r="B4" s="3" t="s">
        <v>4</v>
      </c>
      <c r="C4" s="4">
        <v>44732</v>
      </c>
      <c r="D4" s="3" t="s">
        <v>5</v>
      </c>
      <c r="E4" s="3">
        <v>400</v>
      </c>
    </row>
    <row r="5" spans="1:5" ht="15.6" x14ac:dyDescent="0.3">
      <c r="A5" s="3">
        <v>4</v>
      </c>
      <c r="B5" s="3" t="s">
        <v>6</v>
      </c>
      <c r="C5" s="4">
        <v>44931</v>
      </c>
      <c r="D5" s="3" t="s">
        <v>1</v>
      </c>
      <c r="E5" s="3">
        <v>500</v>
      </c>
    </row>
    <row r="6" spans="1:5" ht="15.6" x14ac:dyDescent="0.3">
      <c r="A6" s="3">
        <v>5</v>
      </c>
      <c r="B6" s="3" t="s">
        <v>7</v>
      </c>
      <c r="C6" s="4">
        <v>44958</v>
      </c>
      <c r="D6" s="3" t="s">
        <v>8</v>
      </c>
      <c r="E6" s="3">
        <v>800</v>
      </c>
    </row>
    <row r="7" spans="1:5" ht="15.6" x14ac:dyDescent="0.3">
      <c r="A7" s="3">
        <v>6</v>
      </c>
      <c r="B7" s="3" t="s">
        <v>9</v>
      </c>
      <c r="C7" s="4">
        <v>45034</v>
      </c>
      <c r="D7" s="3" t="s">
        <v>3</v>
      </c>
      <c r="E7" s="3">
        <v>600</v>
      </c>
    </row>
    <row r="8" spans="1:5" ht="15.6" x14ac:dyDescent="0.3">
      <c r="A8" s="3">
        <v>7</v>
      </c>
      <c r="B8" s="3" t="s">
        <v>10</v>
      </c>
      <c r="C8" s="4">
        <v>45068</v>
      </c>
      <c r="D8" s="3" t="s">
        <v>11</v>
      </c>
      <c r="E8" s="3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2ED7-3D15-4E99-88AB-DCE5431C5E7D}">
  <dimension ref="A1:F9"/>
  <sheetViews>
    <sheetView workbookViewId="0">
      <selection activeCell="I20" sqref="I20"/>
    </sheetView>
  </sheetViews>
  <sheetFormatPr defaultRowHeight="14.4" x14ac:dyDescent="0.3"/>
  <cols>
    <col min="1" max="1" width="15.44140625" bestFit="1" customWidth="1"/>
    <col min="2" max="2" width="7.88671875" bestFit="1" customWidth="1"/>
    <col min="3" max="4" width="11.21875" bestFit="1" customWidth="1"/>
    <col min="5" max="5" width="12.77734375" bestFit="1" customWidth="1"/>
    <col min="6" max="6" width="11.77734375" bestFit="1" customWidth="1"/>
  </cols>
  <sheetData>
    <row r="1" spans="1:6" s="1" customFormat="1" ht="15.6" x14ac:dyDescent="0.3">
      <c r="A1" s="2" t="s">
        <v>16</v>
      </c>
      <c r="B1" s="2" t="s">
        <v>12</v>
      </c>
      <c r="C1" s="2" t="s">
        <v>17</v>
      </c>
      <c r="D1" s="2" t="s">
        <v>18</v>
      </c>
      <c r="E1" s="2" t="s">
        <v>19</v>
      </c>
      <c r="F1" s="2" t="s">
        <v>25</v>
      </c>
    </row>
    <row r="2" spans="1:6" ht="15.6" x14ac:dyDescent="0.3">
      <c r="A2" s="3">
        <v>1</v>
      </c>
      <c r="B2" s="3">
        <v>1</v>
      </c>
      <c r="C2" s="4">
        <v>44571</v>
      </c>
      <c r="D2" s="4">
        <v>44926</v>
      </c>
      <c r="E2" s="3">
        <v>500</v>
      </c>
      <c r="F2" s="3" t="s">
        <v>26</v>
      </c>
    </row>
    <row r="3" spans="1:6" ht="15.6" x14ac:dyDescent="0.3">
      <c r="A3" s="3">
        <v>2</v>
      </c>
      <c r="B3" s="3">
        <v>1</v>
      </c>
      <c r="C3" s="4">
        <v>44927</v>
      </c>
      <c r="D3" s="3" t="s">
        <v>20</v>
      </c>
      <c r="E3" s="3">
        <v>600</v>
      </c>
      <c r="F3" s="3" t="s">
        <v>27</v>
      </c>
    </row>
    <row r="4" spans="1:6" ht="15.6" x14ac:dyDescent="0.3">
      <c r="A4" s="3">
        <v>3</v>
      </c>
      <c r="B4" s="3">
        <v>2</v>
      </c>
      <c r="C4" s="4">
        <v>44635</v>
      </c>
      <c r="D4" s="4">
        <v>44999</v>
      </c>
      <c r="E4" s="3">
        <v>700</v>
      </c>
      <c r="F4" s="3" t="s">
        <v>26</v>
      </c>
    </row>
    <row r="5" spans="1:6" ht="15.6" x14ac:dyDescent="0.3">
      <c r="A5" s="3">
        <v>4</v>
      </c>
      <c r="B5" s="3">
        <v>3</v>
      </c>
      <c r="C5" s="4">
        <v>44732</v>
      </c>
      <c r="D5" s="3" t="s">
        <v>20</v>
      </c>
      <c r="E5" s="3">
        <v>400</v>
      </c>
      <c r="F5" s="3" t="s">
        <v>27</v>
      </c>
    </row>
    <row r="6" spans="1:6" ht="15.6" x14ac:dyDescent="0.3">
      <c r="A6" s="3">
        <v>5</v>
      </c>
      <c r="B6" s="3">
        <v>4</v>
      </c>
      <c r="C6" s="4">
        <v>44931</v>
      </c>
      <c r="D6" s="4">
        <v>45199</v>
      </c>
      <c r="E6" s="3">
        <v>500</v>
      </c>
      <c r="F6" s="3" t="s">
        <v>26</v>
      </c>
    </row>
    <row r="7" spans="1:6" ht="15.6" x14ac:dyDescent="0.3">
      <c r="A7" s="3">
        <v>6</v>
      </c>
      <c r="B7" s="3">
        <v>5</v>
      </c>
      <c r="C7" s="4">
        <v>44958</v>
      </c>
      <c r="D7" s="3" t="s">
        <v>20</v>
      </c>
      <c r="E7" s="3">
        <v>800</v>
      </c>
      <c r="F7" s="3" t="s">
        <v>27</v>
      </c>
    </row>
    <row r="8" spans="1:6" ht="15.6" x14ac:dyDescent="0.3">
      <c r="A8" s="3">
        <v>7</v>
      </c>
      <c r="B8" s="3">
        <v>6</v>
      </c>
      <c r="C8" s="4">
        <v>45034</v>
      </c>
      <c r="D8" s="4">
        <v>45291</v>
      </c>
      <c r="E8" s="3">
        <v>600</v>
      </c>
      <c r="F8" s="3" t="s">
        <v>26</v>
      </c>
    </row>
    <row r="9" spans="1:6" ht="15.6" x14ac:dyDescent="0.3">
      <c r="A9" s="3">
        <v>8</v>
      </c>
      <c r="B9" s="3">
        <v>7</v>
      </c>
      <c r="C9" s="4">
        <v>45068</v>
      </c>
      <c r="D9" s="3" t="s">
        <v>20</v>
      </c>
      <c r="E9" s="3">
        <v>550</v>
      </c>
      <c r="F9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3125-BF1A-4AF6-8D69-BFB5E2B7EDBF}">
  <dimension ref="A1:D2"/>
  <sheetViews>
    <sheetView workbookViewId="0">
      <selection activeCell="E23" sqref="E23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16" bestFit="1" customWidth="1"/>
    <col min="4" max="4" width="14.6640625" bestFit="1" customWidth="1"/>
  </cols>
  <sheetData>
    <row r="1" spans="1:4" ht="21" x14ac:dyDescent="0.4">
      <c r="A1" s="5" t="s">
        <v>21</v>
      </c>
      <c r="B1" s="5" t="s">
        <v>22</v>
      </c>
      <c r="C1" s="5" t="s">
        <v>23</v>
      </c>
      <c r="D1" s="5" t="s">
        <v>24</v>
      </c>
    </row>
    <row r="2" spans="1:4" ht="31.2" x14ac:dyDescent="0.6">
      <c r="A2" s="6">
        <f>COUNT(users!A2:A8)</f>
        <v>7</v>
      </c>
      <c r="B2" s="6">
        <f>COUNTIF(subscriptions!F2:F9, "Active")</f>
        <v>4</v>
      </c>
      <c r="C2" s="6">
        <f>COUNTIF(subscriptions!F2:F9, "Churned")</f>
        <v>4</v>
      </c>
      <c r="D2" s="6">
        <f>SUMIF(subscriptions!F2:F9, "Active", subscriptions!E2:E9)</f>
        <v>2350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8F66-A159-42DB-AF0B-48F8484A9095}">
  <dimension ref="A1:B18"/>
  <sheetViews>
    <sheetView topLeftCell="A2" workbookViewId="0">
      <selection activeCell="O15" sqref="O15"/>
    </sheetView>
  </sheetViews>
  <sheetFormatPr defaultRowHeight="14.4" x14ac:dyDescent="0.3"/>
  <cols>
    <col min="1" max="1" width="14.33203125" bestFit="1" customWidth="1"/>
    <col min="2" max="2" width="9" bestFit="1" customWidth="1"/>
  </cols>
  <sheetData>
    <row r="1" spans="1:2" ht="127.8" customHeight="1" x14ac:dyDescent="0.3"/>
    <row r="3" spans="1:2" ht="15.6" x14ac:dyDescent="0.3">
      <c r="A3" s="7" t="s">
        <v>29</v>
      </c>
      <c r="B3" s="3" t="s">
        <v>28</v>
      </c>
    </row>
    <row r="4" spans="1:2" ht="15.6" x14ac:dyDescent="0.3">
      <c r="A4" s="8" t="s">
        <v>27</v>
      </c>
      <c r="B4" s="3">
        <v>4</v>
      </c>
    </row>
    <row r="5" spans="1:2" ht="15.6" x14ac:dyDescent="0.3">
      <c r="A5" s="8" t="s">
        <v>26</v>
      </c>
      <c r="B5" s="3">
        <v>4</v>
      </c>
    </row>
    <row r="6" spans="1:2" ht="15.6" x14ac:dyDescent="0.3"/>
    <row r="7" spans="1:2" ht="15.6" x14ac:dyDescent="0.3"/>
    <row r="8" spans="1:2" ht="15.6" x14ac:dyDescent="0.3"/>
    <row r="9" spans="1:2" ht="15.6" x14ac:dyDescent="0.3"/>
    <row r="10" spans="1:2" ht="15.6" x14ac:dyDescent="0.3"/>
    <row r="11" spans="1:2" ht="15.6" x14ac:dyDescent="0.3"/>
    <row r="12" spans="1:2" ht="15.6" x14ac:dyDescent="0.3"/>
    <row r="13" spans="1:2" ht="15.6" x14ac:dyDescent="0.3"/>
    <row r="14" spans="1:2" ht="15.6" x14ac:dyDescent="0.3"/>
    <row r="15" spans="1:2" ht="15.6" x14ac:dyDescent="0.3"/>
    <row r="16" spans="1:2" ht="15.6" x14ac:dyDescent="0.3"/>
    <row r="17" ht="15.6" x14ac:dyDescent="0.3"/>
    <row r="18" ht="15.6" x14ac:dyDescent="0.3"/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5883-43FD-4101-A8FC-B7EB69AC9376}">
  <dimension ref="A3:B8"/>
  <sheetViews>
    <sheetView workbookViewId="0">
      <selection activeCell="B7" sqref="B7"/>
    </sheetView>
  </sheetViews>
  <sheetFormatPr defaultRowHeight="14.4" x14ac:dyDescent="0.3"/>
  <cols>
    <col min="1" max="1" width="10.33203125" bestFit="1" customWidth="1"/>
    <col min="2" max="2" width="14.44140625" bestFit="1" customWidth="1"/>
  </cols>
  <sheetData>
    <row r="3" spans="1:2" ht="15.6" x14ac:dyDescent="0.3">
      <c r="A3" s="7" t="s">
        <v>32</v>
      </c>
      <c r="B3" s="3" t="s">
        <v>31</v>
      </c>
    </row>
    <row r="4" spans="1:2" ht="15.6" x14ac:dyDescent="0.3">
      <c r="A4" s="8" t="s">
        <v>1</v>
      </c>
      <c r="B4" s="3">
        <v>1600</v>
      </c>
    </row>
    <row r="5" spans="1:2" ht="15.6" x14ac:dyDescent="0.3">
      <c r="A5" s="8" t="s">
        <v>3</v>
      </c>
      <c r="B5" s="3">
        <v>1300</v>
      </c>
    </row>
    <row r="6" spans="1:2" ht="15.6" x14ac:dyDescent="0.3">
      <c r="A6" s="8" t="s">
        <v>8</v>
      </c>
      <c r="B6" s="3">
        <v>800</v>
      </c>
    </row>
    <row r="7" spans="1:2" ht="15.6" x14ac:dyDescent="0.3">
      <c r="A7" s="8" t="s">
        <v>11</v>
      </c>
      <c r="B7" s="3">
        <v>550</v>
      </c>
    </row>
    <row r="8" spans="1:2" ht="15.6" x14ac:dyDescent="0.3">
      <c r="A8" s="8" t="s">
        <v>5</v>
      </c>
      <c r="B8" s="3">
        <v>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EAFE-4793-4DBD-A1BC-2A638D85740A}">
  <dimension ref="A3:B16"/>
  <sheetViews>
    <sheetView workbookViewId="0">
      <selection activeCell="J21" sqref="J21"/>
    </sheetView>
  </sheetViews>
  <sheetFormatPr defaultRowHeight="14.4" x14ac:dyDescent="0.3"/>
  <cols>
    <col min="1" max="1" width="9.109375" bestFit="1" customWidth="1"/>
    <col min="2" max="2" width="20" bestFit="1" customWidth="1"/>
  </cols>
  <sheetData>
    <row r="3" spans="1:2" ht="15.6" x14ac:dyDescent="0.3">
      <c r="A3" s="7" t="s">
        <v>33</v>
      </c>
      <c r="B3" s="3" t="s">
        <v>30</v>
      </c>
    </row>
    <row r="4" spans="1:2" ht="15.6" x14ac:dyDescent="0.3">
      <c r="A4" s="8" t="s">
        <v>34</v>
      </c>
      <c r="B4" s="3">
        <v>1600</v>
      </c>
    </row>
    <row r="5" spans="1:2" ht="15.6" x14ac:dyDescent="0.3">
      <c r="A5" s="9" t="s">
        <v>36</v>
      </c>
      <c r="B5" s="3">
        <v>500</v>
      </c>
    </row>
    <row r="6" spans="1:2" ht="15.6" x14ac:dyDescent="0.3">
      <c r="A6" s="9" t="s">
        <v>38</v>
      </c>
      <c r="B6" s="3">
        <v>700</v>
      </c>
    </row>
    <row r="7" spans="1:2" ht="15.6" x14ac:dyDescent="0.3">
      <c r="A7" s="9" t="s">
        <v>41</v>
      </c>
      <c r="B7" s="3">
        <v>400</v>
      </c>
    </row>
    <row r="8" spans="1:2" ht="15.6" x14ac:dyDescent="0.3">
      <c r="A8" s="8" t="s">
        <v>35</v>
      </c>
      <c r="B8" s="3">
        <v>3050</v>
      </c>
    </row>
    <row r="9" spans="1:2" ht="15.6" x14ac:dyDescent="0.3">
      <c r="A9" s="9" t="s">
        <v>36</v>
      </c>
      <c r="B9" s="3">
        <v>1100</v>
      </c>
    </row>
    <row r="10" spans="1:2" ht="15.6" x14ac:dyDescent="0.3">
      <c r="A10" s="9" t="s">
        <v>37</v>
      </c>
      <c r="B10" s="3">
        <v>800</v>
      </c>
    </row>
    <row r="11" spans="1:2" ht="15.6" x14ac:dyDescent="0.3">
      <c r="A11" s="9" t="s">
        <v>39</v>
      </c>
      <c r="B11" s="3">
        <v>600</v>
      </c>
    </row>
    <row r="12" spans="1:2" ht="15.6" x14ac:dyDescent="0.3">
      <c r="A12" s="9" t="s">
        <v>40</v>
      </c>
      <c r="B12" s="3">
        <v>550</v>
      </c>
    </row>
    <row r="13" spans="1:2" ht="15.6" x14ac:dyDescent="0.3"/>
    <row r="14" spans="1:2" ht="15.6" x14ac:dyDescent="0.3"/>
    <row r="15" spans="1:2" ht="15.6" x14ac:dyDescent="0.3"/>
    <row r="16" spans="1:2" ht="15.6" x14ac:dyDescent="0.3"/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5588-4254-4D7A-9ED2-D1E66E1D74D3}">
  <dimension ref="A1:C10"/>
  <sheetViews>
    <sheetView workbookViewId="0">
      <selection activeCell="I16" sqref="I16"/>
    </sheetView>
  </sheetViews>
  <sheetFormatPr defaultRowHeight="14.4" x14ac:dyDescent="0.3"/>
  <cols>
    <col min="1" max="1" width="7.88671875" bestFit="1" customWidth="1"/>
    <col min="2" max="2" width="11.77734375" bestFit="1" customWidth="1"/>
    <col min="3" max="3" width="12.77734375" bestFit="1" customWidth="1"/>
  </cols>
  <sheetData>
    <row r="1" spans="1:3" ht="15.6" x14ac:dyDescent="0.3">
      <c r="A1" s="2" t="s">
        <v>12</v>
      </c>
      <c r="B1" s="2" t="s">
        <v>25</v>
      </c>
      <c r="C1" s="2" t="s">
        <v>19</v>
      </c>
    </row>
    <row r="2" spans="1:3" ht="15.6" x14ac:dyDescent="0.3">
      <c r="A2" s="3">
        <v>1</v>
      </c>
      <c r="B2" s="3" t="s">
        <v>26</v>
      </c>
      <c r="C2" s="3">
        <v>500</v>
      </c>
    </row>
    <row r="3" spans="1:3" ht="15.6" x14ac:dyDescent="0.3">
      <c r="A3" s="3">
        <v>1</v>
      </c>
      <c r="B3" s="3" t="s">
        <v>27</v>
      </c>
      <c r="C3" s="3">
        <v>600</v>
      </c>
    </row>
    <row r="4" spans="1:3" ht="15.6" x14ac:dyDescent="0.3">
      <c r="A4" s="3">
        <v>2</v>
      </c>
      <c r="B4" s="3" t="s">
        <v>26</v>
      </c>
      <c r="C4" s="3">
        <v>700</v>
      </c>
    </row>
    <row r="5" spans="1:3" ht="15.6" x14ac:dyDescent="0.3">
      <c r="A5" s="3">
        <v>3</v>
      </c>
      <c r="B5" s="3" t="s">
        <v>27</v>
      </c>
      <c r="C5" s="3">
        <v>400</v>
      </c>
    </row>
    <row r="6" spans="1:3" ht="15.6" x14ac:dyDescent="0.3">
      <c r="A6" s="3">
        <v>4</v>
      </c>
      <c r="B6" s="3" t="s">
        <v>26</v>
      </c>
      <c r="C6" s="3">
        <v>500</v>
      </c>
    </row>
    <row r="7" spans="1:3" ht="15.6" x14ac:dyDescent="0.3">
      <c r="A7" s="3">
        <v>5</v>
      </c>
      <c r="B7" s="3" t="s">
        <v>27</v>
      </c>
      <c r="C7" s="3">
        <v>800</v>
      </c>
    </row>
    <row r="8" spans="1:3" ht="15.6" x14ac:dyDescent="0.3">
      <c r="A8" s="3">
        <v>6</v>
      </c>
      <c r="B8" s="3" t="s">
        <v>26</v>
      </c>
      <c r="C8" s="3">
        <v>600</v>
      </c>
    </row>
    <row r="9" spans="1:3" ht="15.6" x14ac:dyDescent="0.3">
      <c r="A9" s="3">
        <v>7</v>
      </c>
      <c r="B9" s="3" t="s">
        <v>27</v>
      </c>
      <c r="C9" s="3">
        <v>550</v>
      </c>
    </row>
    <row r="10" spans="1:3" ht="15.6" x14ac:dyDescent="0.3">
      <c r="C10" s="3">
        <f>AVERAGE(C2:C9)</f>
        <v>581.25</v>
      </c>
    </row>
  </sheetData>
  <conditionalFormatting sqref="B2">
    <cfRule type="expression" dxfId="5" priority="10">
      <formula>$B2="Churned"</formula>
    </cfRule>
  </conditionalFormatting>
  <conditionalFormatting sqref="B2:B9">
    <cfRule type="expression" dxfId="4" priority="9">
      <formula>$B2:$B9="Churned"</formula>
    </cfRule>
  </conditionalFormatting>
  <conditionalFormatting sqref="C2:C10">
    <cfRule type="expression" dxfId="1" priority="1">
      <formula>C2 &gt; $C$10</formula>
    </cfRule>
    <cfRule type="expression" dxfId="0" priority="8">
      <formula>$C2:$C9 &gt; "$f10"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F9FFE283-1A40-44A1-89FD-4209927BF51E}">
            <xm:f>COUNTIF(subscriptions!$B$2:$B$9, "Active")</xm:f>
            <x14:dxf>
              <font>
                <color rgb="FFFF0000"/>
              </font>
            </x14:dxf>
          </x14:cfRule>
          <x14:cfRule type="expression" priority="12" id="{408F5F4C-50F1-434B-AB86-CB07245FF99F}">
            <xm:f>COUNIF(subscriptions!B2:B9, "Active")</xm:f>
            <x14:dxf>
              <font>
                <color rgb="FFFF0000"/>
              </font>
            </x14:dxf>
          </x14:cfRule>
          <xm:sqref>B2:B9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subscriptions</vt:lpstr>
      <vt:lpstr>KPI's</vt:lpstr>
      <vt:lpstr>Active vs. Churned</vt:lpstr>
      <vt:lpstr>Revenue By City</vt:lpstr>
      <vt:lpstr>MRR Trend</vt:lpstr>
      <vt:lpstr>Cond.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Thapa</dc:creator>
  <cp:lastModifiedBy>Akshit Thapa</cp:lastModifiedBy>
  <dcterms:created xsi:type="dcterms:W3CDTF">2026-02-17T06:06:54Z</dcterms:created>
  <dcterms:modified xsi:type="dcterms:W3CDTF">2026-04-17T07:08:35Z</dcterms:modified>
</cp:coreProperties>
</file>